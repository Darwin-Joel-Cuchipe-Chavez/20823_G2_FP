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-ESPE\Desktop\"/>
    </mc:Choice>
  </mc:AlternateContent>
  <xr:revisionPtr revIDLastSave="0" documentId="8_{8D6E4601-22C0-4E9D-B58B-3DC141C5FBF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C13" i="2" l="1"/>
  <c r="L22" i="2"/>
  <c r="E22" i="2"/>
  <c r="E19" i="2"/>
  <c r="M15" i="2"/>
  <c r="H15" i="2"/>
  <c r="D15" i="2"/>
  <c r="H13" i="2"/>
  <c r="E13" i="2"/>
  <c r="H10" i="2"/>
  <c r="E10" i="2"/>
</calcChain>
</file>

<file path=xl/sharedStrings.xml><?xml version="1.0" encoding="utf-8"?>
<sst xmlns="http://schemas.openxmlformats.org/spreadsheetml/2006/main" count="60" uniqueCount="53">
  <si>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</si>
  <si>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</si>
  <si>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</si>
  <si>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</si>
  <si>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</si>
  <si>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</si>
  <si>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</si>
  <si>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</si>
  <si>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</si>
  <si>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</si>
  <si>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</si>
  <si>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</si>
  <si>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</si>
  <si>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</si>
  <si>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</si>
  <si>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</si>
  <si>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</si>
  <si>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Terminado</t>
  </si>
  <si>
    <t>REQ002</t>
  </si>
  <si>
    <t>REQ003</t>
  </si>
  <si>
    <t>REQ004</t>
  </si>
  <si>
    <t>REQ005</t>
  </si>
  <si>
    <t>REQ006</t>
  </si>
  <si>
    <t>REQ007</t>
  </si>
  <si>
    <t>REQ008</t>
  </si>
  <si>
    <t>REQ009</t>
  </si>
  <si>
    <t>REQ010</t>
  </si>
  <si>
    <t>REQ011</t>
  </si>
  <si>
    <t>REQ012</t>
  </si>
  <si>
    <t>No iniciado</t>
  </si>
  <si>
    <t xml:space="preserve">Media 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</si>
  <si>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</si>
  <si>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</si>
  <si>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</si>
  <si>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</si>
  <si>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</si>
  <si>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</si>
  <si>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</si>
  <si>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</si>
  <si>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</si>
  <si>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</si>
  <si>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</si>
  <si>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</si>
  <si>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Para agilizar el registro de la informacion</t>
  </si>
  <si>
    <t>Registro de la informacion de forma ineficiente</t>
  </si>
  <si>
    <t>Mediante la elaboracion de un programa en C con una interfaz sencilla manteniendo el enfoque en la consola</t>
  </si>
  <si>
    <t>Yo</t>
  </si>
  <si>
    <t>Aún no lo sé</t>
  </si>
  <si>
    <t>Tampoco sé</t>
  </si>
  <si>
    <t>Ingresando informaxión y que se almacene correctamente</t>
  </si>
  <si>
    <t>Inicio del Fin.</t>
  </si>
  <si>
    <t>Para la empresa TransLaraIvanExpress S.A</t>
  </si>
  <si>
    <t>Una app sencilla de escritorio que este en la consola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</si>
</sst>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Arial"/>
    </font>
    <font>
      <sz val="11"/>
      <color theme="1"/>
      <name val="Calibri"/>
    </font>
    <font>
      <b/>
      <i/>
      <sz val="16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0"/>
      <color theme="1"/>
      <name val="Arial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/>
      <bottom style="thin">
        <color rgb="FF7B7B7B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vertical="center"/>
    </xf>
    <xf numFmtId="0" fontId="0" fillId="3" borderId="8" xfId="0" applyFill="1" applyBorder="1"/>
    <xf numFmtId="0" fontId="13" fillId="5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49" fontId="6" fillId="0" borderId="2" xfId="0" applyNumberFormat="1" applyFont="1" applyBorder="1" applyAlignment="1">
      <alignment vertical="center" wrapText="1"/>
    </xf>
    <xf numFmtId="0" fontId="0" fillId="3" borderId="10" xfId="0" applyFill="1" applyBorder="1"/>
    <xf numFmtId="0" fontId="8" fillId="3" borderId="12" xfId="0" applyFont="1" applyFill="1" applyBorder="1" applyAlignment="1">
      <alignment horizontal="left" vertical="center" wrapText="1"/>
    </xf>
    <xf numFmtId="0" fontId="1" fillId="3" borderId="12" xfId="0" applyFont="1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4" xfId="0" applyFill="1" applyBorder="1"/>
    <xf numFmtId="0" fontId="0" fillId="3" borderId="15" xfId="0" applyFill="1" applyBorder="1"/>
    <xf numFmtId="0" fontId="5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0" fillId="0" borderId="26" xfId="0" applyBorder="1"/>
    <xf numFmtId="0" fontId="5" fillId="0" borderId="28" xfId="0" applyFont="1" applyBorder="1" applyAlignment="1">
      <alignment vertical="center"/>
    </xf>
    <xf numFmtId="0" fontId="1" fillId="0" borderId="26" xfId="0" applyFont="1" applyBorder="1" applyAlignment="1">
      <alignment horizontal="left" vertical="center" wrapText="1"/>
    </xf>
    <xf numFmtId="0" fontId="6" fillId="0" borderId="26" xfId="0" applyFont="1" applyBorder="1" applyAlignment="1">
      <alignment vertical="center" wrapText="1"/>
    </xf>
    <xf numFmtId="0" fontId="5" fillId="8" borderId="26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1" fillId="6" borderId="9" xfId="0" applyFont="1" applyFill="1" applyBorder="1" applyAlignment="1">
      <alignment horizontal="center" vertical="center"/>
    </xf>
    <xf numFmtId="0" fontId="10" fillId="0" borderId="13" xfId="0" applyFont="1" applyBorder="1"/>
    <xf numFmtId="0" fontId="10" fillId="0" borderId="16" xfId="0" applyFont="1" applyBorder="1"/>
    <xf numFmtId="0" fontId="14" fillId="7" borderId="10" xfId="0" applyFont="1" applyFill="1" applyBorder="1" applyAlignment="1">
      <alignment horizontal="center" vertical="center"/>
    </xf>
    <xf numFmtId="0" fontId="10" fillId="0" borderId="11" xfId="0" applyFont="1" applyBorder="1"/>
    <xf numFmtId="0" fontId="10" fillId="0" borderId="23" xfId="0" applyFont="1" applyBorder="1"/>
    <xf numFmtId="0" fontId="10" fillId="0" borderId="25" xfId="0" applyFont="1" applyBorder="1"/>
    <xf numFmtId="0" fontId="11" fillId="4" borderId="10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" fillId="5" borderId="10" xfId="0" applyFont="1" applyFill="1" applyBorder="1" applyAlignment="1">
      <alignment horizontal="center" vertical="center"/>
    </xf>
    <xf numFmtId="0" fontId="10" fillId="0" borderId="12" xfId="0" applyFont="1" applyBorder="1"/>
    <xf numFmtId="0" fontId="10" fillId="0" borderId="24" xfId="0" applyFont="1" applyBorder="1"/>
    <xf numFmtId="0" fontId="9" fillId="3" borderId="4" xfId="0" applyFont="1" applyFill="1" applyBorder="1" applyAlignment="1">
      <alignment horizontal="center" vertical="center" wrapText="1"/>
    </xf>
    <xf numFmtId="0" fontId="10" fillId="0" borderId="5" xfId="0" applyFont="1" applyBorder="1"/>
    <xf numFmtId="0" fontId="10" fillId="0" borderId="6" xfId="0" applyFont="1" applyBorder="1"/>
    <xf numFmtId="0" fontId="1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/>
    </xf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10" fillId="0" borderId="21" xfId="0" applyFont="1" applyBorder="1"/>
    <xf numFmtId="0" fontId="10" fillId="0" borderId="22" xfId="0" applyFont="1" applyBorder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0" fillId="0" borderId="0" xfId="0" applyAlignment="1">
      <alignment wrapText="1"/>
    </xf>
    <xf numFmtId="0" fontId="10" fillId="0" borderId="15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10" fillId="0" borderId="24" xfId="0" applyFont="1" applyBorder="1" applyAlignment="1">
      <alignment wrapText="1"/>
    </xf>
    <xf numFmtId="0" fontId="10" fillId="0" borderId="25" xfId="0" applyFont="1" applyBorder="1" applyAlignment="1">
      <alignment wrapText="1"/>
    </xf>
    <xf numFmtId="0" fontId="1" fillId="5" borderId="4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wrapText="1"/>
    </xf>
    <xf numFmtId="0" fontId="13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395004</xdr:colOff>
      <xdr:row>8</xdr:row>
      <xdr:rowOff>228599</xdr:rowOff>
    </xdr:from>
    <xdr:to>
      <xdr:col>14</xdr:col>
      <xdr:colOff>771524</xdr:colOff>
      <xdr:row>12</xdr:row>
      <xdr:rowOff>142385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BE2244-8E1D-405F-A111-2CEABE5E6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5279" y="1171574"/>
          <a:ext cx="1186145" cy="1180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tabSelected="1" zoomScaleNormal="100" workbookViewId="0">
      <selection activeCell="D6" sqref="D6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37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53" t="s">
        <v>0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1:26" x14ac:dyDescent="0.25">
      <c r="H4" s="4"/>
      <c r="I4" s="1"/>
      <c r="J4" s="1"/>
      <c r="K4" s="2"/>
      <c r="L4" s="3"/>
    </row>
    <row r="5" spans="1:26" ht="51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166.35" customHeight="1" x14ac:dyDescent="0.2">
      <c r="B6" s="7" t="s">
        <v>15</v>
      </c>
      <c r="C6" s="18" t="s">
        <v>44</v>
      </c>
      <c r="D6" s="8" t="s">
        <v>52</v>
      </c>
      <c r="E6" s="8" t="s">
        <v>43</v>
      </c>
      <c r="F6" s="8" t="s">
        <v>51</v>
      </c>
      <c r="G6" s="8" t="s">
        <v>45</v>
      </c>
      <c r="H6" s="8" t="s">
        <v>46</v>
      </c>
      <c r="I6" s="11" t="s">
        <v>47</v>
      </c>
      <c r="J6" s="12" t="s">
        <v>48</v>
      </c>
      <c r="K6" s="11" t="s">
        <v>16</v>
      </c>
      <c r="L6" s="11" t="s">
        <v>29</v>
      </c>
      <c r="M6" s="12" t="s">
        <v>49</v>
      </c>
      <c r="N6" s="12"/>
      <c r="O6" s="12" t="s">
        <v>50</v>
      </c>
    </row>
    <row r="7" spans="1:26" ht="72" customHeight="1" x14ac:dyDescent="0.25">
      <c r="B7" s="7" t="s">
        <v>18</v>
      </c>
      <c r="C7" s="8"/>
      <c r="D7" s="9"/>
      <c r="E7" s="8"/>
      <c r="F7" s="10"/>
      <c r="G7" s="34"/>
      <c r="H7" s="8"/>
      <c r="I7" s="11"/>
      <c r="J7" s="12"/>
      <c r="K7" s="11"/>
      <c r="L7" s="11"/>
      <c r="M7" s="9"/>
      <c r="N7" s="13"/>
      <c r="O7" s="14"/>
    </row>
    <row r="8" spans="1:26" ht="72" customHeight="1" x14ac:dyDescent="0.2">
      <c r="B8" s="7" t="s">
        <v>19</v>
      </c>
      <c r="C8" s="9"/>
      <c r="D8" s="8"/>
      <c r="E8" s="8"/>
      <c r="F8" s="8"/>
      <c r="G8" s="9"/>
      <c r="H8" s="8"/>
      <c r="I8" s="11"/>
      <c r="J8" s="12"/>
      <c r="K8" s="11"/>
      <c r="L8" s="15"/>
      <c r="M8" s="43"/>
      <c r="N8" s="44"/>
      <c r="O8" s="45"/>
    </row>
    <row r="9" spans="1:26" ht="122.45" customHeight="1" x14ac:dyDescent="0.2">
      <c r="A9" s="16"/>
      <c r="B9" s="7" t="s">
        <v>20</v>
      </c>
      <c r="C9" s="9"/>
      <c r="D9" s="17"/>
      <c r="E9" s="17"/>
      <c r="F9" s="14"/>
      <c r="G9" s="9"/>
      <c r="H9" s="18"/>
      <c r="I9" s="15"/>
      <c r="J9" s="12"/>
      <c r="K9" s="11"/>
      <c r="L9" s="42"/>
      <c r="M9" s="51"/>
      <c r="N9" s="48"/>
      <c r="O9" s="50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16.45" customHeight="1" x14ac:dyDescent="0.2">
      <c r="B10" s="7" t="s">
        <v>21</v>
      </c>
      <c r="C10" s="8"/>
      <c r="D10" s="17"/>
      <c r="E10" s="17"/>
      <c r="F10" s="14"/>
      <c r="G10" s="17"/>
      <c r="H10" s="18"/>
      <c r="I10" s="15"/>
      <c r="J10" s="12"/>
      <c r="K10" s="11"/>
      <c r="L10" s="15"/>
      <c r="M10" s="46"/>
      <c r="N10" s="47"/>
      <c r="O10" s="47"/>
    </row>
    <row r="11" spans="1:26" ht="66" customHeight="1" x14ac:dyDescent="0.2">
      <c r="B11" s="7" t="s">
        <v>22</v>
      </c>
      <c r="C11" s="8"/>
      <c r="D11" s="8"/>
      <c r="E11" s="8"/>
      <c r="F11" s="8"/>
      <c r="G11" s="8"/>
      <c r="H11" s="8"/>
      <c r="I11" s="11"/>
      <c r="J11" s="12"/>
      <c r="K11" s="11"/>
      <c r="L11" s="11"/>
      <c r="M11" s="8"/>
      <c r="N11" s="8"/>
      <c r="O11" s="8"/>
    </row>
    <row r="12" spans="1:26" ht="155.25" customHeight="1" x14ac:dyDescent="0.2">
      <c r="B12" s="7" t="s">
        <v>23</v>
      </c>
      <c r="C12" s="8"/>
      <c r="D12" s="8"/>
      <c r="E12" s="8"/>
      <c r="F12" s="8"/>
      <c r="G12" s="8"/>
      <c r="H12" s="8"/>
      <c r="I12" s="11"/>
      <c r="J12" s="12"/>
      <c r="K12" s="11"/>
      <c r="L12" s="11"/>
      <c r="M12" s="8"/>
      <c r="N12" s="8"/>
      <c r="O12" s="8"/>
    </row>
    <row r="13" spans="1:26" ht="120.6" customHeight="1" x14ac:dyDescent="0.2">
      <c r="B13" s="7" t="s">
        <v>24</v>
      </c>
      <c r="C13" s="8"/>
      <c r="D13" s="8"/>
      <c r="E13" s="8"/>
      <c r="F13" s="8"/>
      <c r="G13" s="8"/>
      <c r="H13" s="8"/>
      <c r="I13" s="11"/>
      <c r="J13" s="12"/>
      <c r="K13" s="11"/>
      <c r="L13" s="11"/>
      <c r="M13" s="8"/>
      <c r="N13" s="8"/>
      <c r="O13" s="8"/>
    </row>
    <row r="14" spans="1:26" ht="124.5" customHeight="1" x14ac:dyDescent="0.2">
      <c r="B14" s="7" t="s">
        <v>25</v>
      </c>
      <c r="C14" s="8"/>
      <c r="D14" s="8"/>
      <c r="E14" s="8"/>
      <c r="F14" s="8"/>
      <c r="G14" s="8"/>
      <c r="H14" s="8"/>
      <c r="I14" s="11"/>
      <c r="J14" s="12"/>
      <c r="K14" s="11"/>
      <c r="L14" s="11"/>
      <c r="M14" s="8"/>
      <c r="N14" s="12"/>
      <c r="O14" s="8"/>
    </row>
    <row r="15" spans="1:26" ht="117.75" customHeight="1" x14ac:dyDescent="0.2">
      <c r="B15" s="7" t="s">
        <v>26</v>
      </c>
      <c r="C15" s="8"/>
      <c r="D15" s="8"/>
      <c r="E15" s="8"/>
      <c r="F15" s="8"/>
      <c r="G15" s="8"/>
      <c r="H15" s="8"/>
      <c r="I15" s="11"/>
      <c r="J15" s="12"/>
      <c r="K15" s="11"/>
      <c r="L15" s="11"/>
      <c r="M15" s="8"/>
      <c r="N15" s="12"/>
      <c r="O15" s="8"/>
    </row>
    <row r="16" spans="1:26" ht="115.5" customHeight="1" x14ac:dyDescent="0.2">
      <c r="B16" s="7" t="s">
        <v>27</v>
      </c>
      <c r="C16" s="8"/>
      <c r="D16" s="8"/>
      <c r="E16" s="8"/>
      <c r="F16" s="8"/>
      <c r="G16" s="8"/>
      <c r="H16" s="8"/>
      <c r="I16" s="11"/>
      <c r="J16" s="12"/>
      <c r="K16" s="11"/>
      <c r="L16" s="11"/>
      <c r="M16" s="8"/>
      <c r="N16" s="12"/>
      <c r="O16" s="8"/>
    </row>
    <row r="17" spans="2:15" ht="122.25" customHeight="1" x14ac:dyDescent="0.2">
      <c r="B17" s="7" t="s">
        <v>28</v>
      </c>
      <c r="C17" s="8"/>
      <c r="D17" s="8"/>
      <c r="E17" s="8"/>
      <c r="F17" s="8"/>
      <c r="G17" s="8"/>
      <c r="H17" s="8"/>
      <c r="I17" s="11"/>
      <c r="J17" s="12"/>
      <c r="K17" s="11"/>
      <c r="L17" s="11"/>
      <c r="M17" s="8"/>
      <c r="N17" s="12"/>
      <c r="O17" s="8"/>
    </row>
    <row r="18" spans="2:15" ht="127.5" customHeight="1" x14ac:dyDescent="0.2">
      <c r="B18" s="7"/>
      <c r="C18" s="8"/>
      <c r="D18" s="8"/>
      <c r="E18" s="8"/>
      <c r="F18" s="8"/>
      <c r="G18" s="8"/>
      <c r="H18" s="8"/>
      <c r="I18" s="11"/>
      <c r="J18" s="12"/>
      <c r="K18" s="11"/>
      <c r="L18" s="11"/>
      <c r="M18" s="8"/>
      <c r="N18" s="12"/>
      <c r="O18" s="8"/>
    </row>
    <row r="19" spans="2:15" ht="118.5" customHeight="1" x14ac:dyDescent="0.2">
      <c r="B19" s="7"/>
      <c r="C19" s="8"/>
      <c r="D19" s="8"/>
      <c r="E19" s="8"/>
      <c r="F19" s="8"/>
      <c r="G19" s="8"/>
      <c r="H19" s="8"/>
      <c r="I19" s="11"/>
      <c r="J19" s="12"/>
      <c r="K19" s="11"/>
      <c r="L19" s="11"/>
      <c r="M19" s="8"/>
      <c r="N19" s="12"/>
      <c r="O19" s="8"/>
    </row>
    <row r="20" spans="2:15" ht="109.5" customHeight="1" x14ac:dyDescent="0.2">
      <c r="B20" s="49"/>
      <c r="C20" s="8"/>
      <c r="D20" s="8"/>
      <c r="E20" s="8"/>
      <c r="F20" s="8"/>
      <c r="G20" s="8"/>
      <c r="H20" s="8"/>
      <c r="I20" s="11"/>
      <c r="J20" s="12"/>
      <c r="K20" s="11"/>
      <c r="L20" s="11"/>
      <c r="M20" s="8"/>
      <c r="N20" s="12"/>
      <c r="O20" s="8"/>
    </row>
    <row r="21" spans="2:15" ht="114" customHeight="1" x14ac:dyDescent="0.2">
      <c r="B21" s="49"/>
      <c r="C21" s="8"/>
      <c r="D21" s="8"/>
      <c r="E21" s="8"/>
      <c r="F21" s="8"/>
      <c r="G21" s="8"/>
      <c r="H21" s="8"/>
      <c r="I21" s="11"/>
      <c r="J21" s="12"/>
      <c r="K21" s="11"/>
      <c r="L21" s="11"/>
      <c r="M21" s="12"/>
      <c r="N21" s="12"/>
      <c r="O21" s="8"/>
    </row>
    <row r="22" spans="2:15" ht="101.25" customHeight="1" x14ac:dyDescent="0.2">
      <c r="B22" s="49"/>
      <c r="C22" s="18"/>
      <c r="D22" s="8"/>
      <c r="E22" s="8"/>
      <c r="F22" s="8"/>
      <c r="G22" s="8"/>
      <c r="H22" s="8"/>
      <c r="I22" s="11"/>
      <c r="J22" s="12"/>
      <c r="K22" s="11"/>
      <c r="L22" s="11"/>
      <c r="M22" s="12"/>
      <c r="N22" s="12"/>
      <c r="O22" s="8"/>
    </row>
    <row r="23" spans="2:15" ht="75" customHeight="1" x14ac:dyDescent="0.2">
      <c r="B23" s="52"/>
      <c r="C23" s="18"/>
      <c r="D23" s="8"/>
      <c r="E23" s="8"/>
      <c r="F23" s="8"/>
      <c r="G23" s="8"/>
      <c r="H23" s="8"/>
      <c r="I23" s="11"/>
      <c r="J23" s="12"/>
      <c r="K23" s="11"/>
      <c r="L23" s="11"/>
      <c r="M23" s="12"/>
      <c r="N23" s="12"/>
      <c r="O23" s="12"/>
    </row>
    <row r="24" spans="2:15" ht="19.5" customHeight="1" x14ac:dyDescent="0.25">
      <c r="I24" s="1"/>
      <c r="J24" s="1"/>
      <c r="K24" s="2"/>
      <c r="L24" s="3"/>
    </row>
    <row r="25" spans="2:15" ht="19.5" customHeight="1" x14ac:dyDescent="0.2">
      <c r="I25" s="1"/>
      <c r="J25" s="1"/>
      <c r="K25" s="20"/>
      <c r="L25" s="3"/>
    </row>
    <row r="26" spans="2:15" ht="19.5" customHeight="1" x14ac:dyDescent="0.2">
      <c r="I26" s="1"/>
      <c r="J26" s="1"/>
      <c r="K26" s="20"/>
      <c r="L26" s="3"/>
    </row>
    <row r="27" spans="2:15" ht="19.5" customHeight="1" x14ac:dyDescent="0.25">
      <c r="I27" s="1"/>
      <c r="J27" s="1"/>
      <c r="K27" s="2"/>
      <c r="L27" s="3"/>
    </row>
    <row r="28" spans="2:15" ht="19.5" customHeight="1" x14ac:dyDescent="0.25">
      <c r="I28" s="1"/>
      <c r="J28" s="1"/>
      <c r="K28" s="2"/>
      <c r="L28" s="3"/>
    </row>
    <row r="29" spans="2:15" ht="19.5" customHeight="1" x14ac:dyDescent="0.25">
      <c r="I29" s="1"/>
      <c r="J29" s="1"/>
      <c r="K29" s="2"/>
      <c r="L29" s="3"/>
    </row>
    <row r="30" spans="2:15" ht="19.5" customHeight="1" x14ac:dyDescent="0.25">
      <c r="I30" s="1"/>
      <c r="J30" s="1"/>
      <c r="K30" s="2" t="s">
        <v>16</v>
      </c>
      <c r="L30" s="1" t="s">
        <v>29</v>
      </c>
      <c r="M30" s="4"/>
    </row>
    <row r="31" spans="2:15" ht="19.5" customHeight="1" x14ac:dyDescent="0.25">
      <c r="I31" s="1"/>
      <c r="J31" s="1"/>
      <c r="K31" s="2" t="s">
        <v>30</v>
      </c>
      <c r="L31" s="1" t="s">
        <v>31</v>
      </c>
      <c r="M31" s="4"/>
    </row>
    <row r="32" spans="2:15" ht="19.5" customHeight="1" x14ac:dyDescent="0.25">
      <c r="I32" s="1"/>
      <c r="J32" s="1"/>
      <c r="K32" s="2" t="s">
        <v>32</v>
      </c>
      <c r="L32" s="1" t="s">
        <v>17</v>
      </c>
      <c r="M32" s="4"/>
    </row>
    <row r="33" spans="9:13" ht="19.5" customHeight="1" x14ac:dyDescent="0.25">
      <c r="I33" s="1"/>
      <c r="J33" s="1"/>
      <c r="K33" s="2"/>
      <c r="L33" s="1" t="s">
        <v>33</v>
      </c>
      <c r="M33" s="4"/>
    </row>
    <row r="34" spans="9:13" ht="19.5" customHeight="1" x14ac:dyDescent="0.25">
      <c r="I34" s="1"/>
      <c r="J34" s="1"/>
      <c r="K34" s="2"/>
      <c r="L34" s="3"/>
    </row>
    <row r="35" spans="9:13" ht="19.5" customHeight="1" x14ac:dyDescent="0.25">
      <c r="I35" s="1"/>
      <c r="J35" s="1"/>
      <c r="K35" s="2"/>
      <c r="L35" s="3"/>
    </row>
    <row r="36" spans="9:13" ht="15.75" customHeight="1" x14ac:dyDescent="0.25">
      <c r="I36" s="1"/>
      <c r="J36" s="1"/>
      <c r="K36" s="2"/>
      <c r="L36" s="3"/>
    </row>
    <row r="37" spans="9:13" ht="15.75" customHeight="1" x14ac:dyDescent="0.25">
      <c r="I37" s="1"/>
      <c r="J37" s="1"/>
      <c r="K37" s="2"/>
      <c r="L37" s="3"/>
    </row>
    <row r="38" spans="9:13" ht="15.75" customHeight="1" x14ac:dyDescent="0.25">
      <c r="I38" s="1"/>
      <c r="J38" s="1"/>
      <c r="K38" s="2"/>
      <c r="L38" s="3"/>
    </row>
    <row r="39" spans="9:13" ht="15.75" customHeight="1" x14ac:dyDescent="0.25">
      <c r="I39" s="1"/>
      <c r="J39" s="1"/>
      <c r="K39" s="2"/>
      <c r="L39" s="3"/>
    </row>
    <row r="40" spans="9:13" ht="15.75" customHeight="1" x14ac:dyDescent="0.25">
      <c r="I40" s="1"/>
      <c r="J40" s="1"/>
      <c r="K40" s="2"/>
      <c r="L40" s="3"/>
    </row>
    <row r="41" spans="9:13" ht="15.75" customHeight="1" x14ac:dyDescent="0.25">
      <c r="I41" s="1"/>
      <c r="J41" s="1"/>
      <c r="K41" s="2"/>
      <c r="L41" s="3"/>
    </row>
    <row r="42" spans="9:13" ht="15.75" customHeight="1" x14ac:dyDescent="0.25">
      <c r="I42" s="1"/>
      <c r="J42" s="1"/>
      <c r="K42" s="2"/>
      <c r="L42" s="3"/>
    </row>
    <row r="43" spans="9:13" ht="15.75" customHeight="1" x14ac:dyDescent="0.25">
      <c r="I43" s="1"/>
      <c r="J43" s="1"/>
      <c r="K43" s="2"/>
      <c r="L43" s="3"/>
    </row>
    <row r="44" spans="9:13" ht="15.75" customHeight="1" x14ac:dyDescent="0.25">
      <c r="I44" s="1"/>
      <c r="J44" s="1"/>
      <c r="K44" s="2"/>
      <c r="L44" s="3"/>
    </row>
    <row r="45" spans="9:13" ht="15.75" customHeight="1" x14ac:dyDescent="0.25">
      <c r="I45" s="1"/>
      <c r="J45" s="1"/>
      <c r="K45" s="2"/>
      <c r="L45" s="3"/>
    </row>
    <row r="46" spans="9:13" ht="15.75" customHeight="1" x14ac:dyDescent="0.25">
      <c r="I46" s="1"/>
      <c r="J46" s="1"/>
      <c r="K46" s="2"/>
      <c r="L46" s="3"/>
    </row>
    <row r="47" spans="9:13" ht="15.75" customHeight="1" x14ac:dyDescent="0.25">
      <c r="I47" s="1"/>
      <c r="J47" s="1"/>
      <c r="K47" s="2"/>
      <c r="L47" s="3"/>
    </row>
    <row r="48" spans="9:13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5">
      <c r="I989" s="1"/>
      <c r="J989" s="1"/>
      <c r="K989" s="2"/>
      <c r="L989" s="3"/>
    </row>
    <row r="990" spans="9:12" ht="15.75" customHeight="1" x14ac:dyDescent="0.25">
      <c r="I990" s="1"/>
      <c r="J990" s="1"/>
      <c r="K990" s="2"/>
      <c r="L990" s="3"/>
    </row>
    <row r="991" spans="9:12" ht="15.75" customHeight="1" x14ac:dyDescent="0.25">
      <c r="I991" s="1"/>
      <c r="J991" s="1"/>
      <c r="K991" s="2"/>
      <c r="L991" s="3"/>
    </row>
    <row r="992" spans="9:12" ht="15.75" customHeight="1" x14ac:dyDescent="0.25">
      <c r="I992" s="1"/>
      <c r="J992" s="1"/>
      <c r="K992" s="2"/>
      <c r="L992" s="3"/>
    </row>
    <row r="993" spans="9:12" ht="15.75" customHeight="1" x14ac:dyDescent="0.25">
      <c r="I993" s="1"/>
      <c r="J993" s="1"/>
      <c r="K993" s="2"/>
      <c r="L993" s="3"/>
    </row>
    <row r="994" spans="9:12" ht="15.75" customHeight="1" x14ac:dyDescent="0.25">
      <c r="I994" s="1"/>
      <c r="J994" s="1"/>
      <c r="K994" s="2"/>
      <c r="L994" s="3"/>
    </row>
    <row r="995" spans="9:12" ht="15.75" customHeight="1" x14ac:dyDescent="0.25">
      <c r="I995" s="1"/>
      <c r="J995" s="1"/>
      <c r="K995" s="2"/>
      <c r="L995" s="3"/>
    </row>
    <row r="996" spans="9:12" ht="15.75" customHeight="1" x14ac:dyDescent="0.25">
      <c r="I996" s="1"/>
      <c r="J996" s="1"/>
      <c r="K996" s="2"/>
      <c r="L996" s="3"/>
    </row>
    <row r="997" spans="9:12" ht="15.75" customHeight="1" x14ac:dyDescent="0.25">
      <c r="I997" s="1"/>
      <c r="J997" s="1"/>
      <c r="K997" s="2"/>
      <c r="L997" s="3"/>
    </row>
    <row r="998" spans="9:12" ht="15.75" customHeight="1" x14ac:dyDescent="0.25">
      <c r="I998" s="1"/>
      <c r="J998" s="1"/>
      <c r="K998" s="2"/>
      <c r="L998" s="3"/>
    </row>
    <row r="999" spans="9:12" ht="15.75" customHeight="1" x14ac:dyDescent="0.25">
      <c r="I999" s="1"/>
      <c r="J999" s="1"/>
      <c r="K999" s="2"/>
      <c r="L999" s="3"/>
    </row>
    <row r="1000" spans="9:12" ht="15.75" customHeight="1" x14ac:dyDescent="0.2">
      <c r="I1000" s="3"/>
      <c r="J1000" s="3"/>
      <c r="K1000" s="19"/>
      <c r="L1000" s="3"/>
    </row>
    <row r="1001" spans="9:12" ht="15.75" customHeight="1" x14ac:dyDescent="0.2">
      <c r="I1001" s="3"/>
      <c r="J1001" s="3"/>
      <c r="K1001" s="19"/>
      <c r="L1001" s="3"/>
    </row>
  </sheetData>
  <mergeCells count="1">
    <mergeCell ref="B3:O3"/>
  </mergeCells>
  <phoneticPr fontId="15" type="noConversion"/>
  <dataValidations count="2">
    <dataValidation type="list" allowBlank="1" showErrorMessage="1" sqref="L10:L23 L6:L8" xr:uid="{00000000-0002-0000-0000-000000000000}">
      <formula1>$L$30:$L$33</formula1>
    </dataValidation>
    <dataValidation type="list" allowBlank="1" showErrorMessage="1" sqref="K10:K23 K6:K8" xr:uid="{00000000-0002-0000-0000-000001000000}">
      <formula1>$K$30:$K$32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workbookViewId="0">
      <selection activeCell="Q9" sqref="Q9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1"/>
      <c r="D4" s="21"/>
      <c r="E4" s="21"/>
      <c r="F4" s="4"/>
    </row>
    <row r="5" spans="2:16" hidden="1" x14ac:dyDescent="0.25">
      <c r="C5" s="21"/>
      <c r="D5" s="21"/>
      <c r="E5" s="21"/>
      <c r="F5" s="4"/>
    </row>
    <row r="6" spans="2:16" ht="39.75" customHeight="1" x14ac:dyDescent="0.2">
      <c r="B6" s="68" t="s">
        <v>34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70"/>
    </row>
    <row r="7" spans="2:16" ht="9.75" customHeight="1" x14ac:dyDescent="0.2"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spans="2:16" ht="9.75" customHeight="1" x14ac:dyDescent="0.25">
      <c r="B8" s="35"/>
      <c r="C8" s="36"/>
      <c r="D8" s="36"/>
      <c r="E8" s="36"/>
      <c r="F8" s="37"/>
      <c r="G8" s="38"/>
      <c r="H8" s="38"/>
      <c r="I8" s="38"/>
      <c r="J8" s="38"/>
      <c r="K8" s="38"/>
      <c r="L8" s="38"/>
      <c r="M8" s="38"/>
      <c r="N8" s="38"/>
      <c r="O8" s="38"/>
      <c r="P8" s="39"/>
    </row>
    <row r="9" spans="2:16" ht="30" customHeight="1" x14ac:dyDescent="0.2">
      <c r="B9" s="40"/>
      <c r="C9" s="23" t="s">
        <v>1</v>
      </c>
      <c r="D9" s="24"/>
      <c r="E9" s="71" t="s">
        <v>35</v>
      </c>
      <c r="F9" s="70"/>
      <c r="G9" s="24"/>
      <c r="H9" s="71" t="s">
        <v>11</v>
      </c>
      <c r="I9" s="70"/>
      <c r="J9" s="25"/>
      <c r="K9" s="25"/>
      <c r="L9" s="25"/>
      <c r="M9" s="25"/>
      <c r="N9" s="25"/>
      <c r="O9" s="25"/>
      <c r="P9" s="41"/>
    </row>
    <row r="10" spans="2:16" ht="30" customHeight="1" x14ac:dyDescent="0.2">
      <c r="B10" s="40"/>
      <c r="C10" s="26" t="s">
        <v>15</v>
      </c>
      <c r="D10" s="27"/>
      <c r="E10" s="88" t="str">
        <f>VLOOKUP(C10,'Formato descripción HU'!B6:O23,5,0)</f>
        <v>Para la empresa TransLaraIvanExpress S.A</v>
      </c>
      <c r="F10" s="89"/>
      <c r="G10" s="28"/>
      <c r="H10" s="72" t="str">
        <f>VLOOKUP(C10,'Formato descripción HU'!B6:O263,11,0)</f>
        <v>No iniciado</v>
      </c>
      <c r="I10" s="70"/>
      <c r="J10" s="28"/>
      <c r="K10" s="25"/>
      <c r="L10" s="25"/>
      <c r="M10" s="25"/>
      <c r="N10" s="25"/>
      <c r="O10" s="25"/>
      <c r="P10" s="41"/>
    </row>
    <row r="11" spans="2:16" ht="9.75" customHeight="1" x14ac:dyDescent="0.2">
      <c r="B11" s="40"/>
      <c r="C11" s="29"/>
      <c r="D11" s="27"/>
      <c r="E11" s="30"/>
      <c r="F11" s="30"/>
      <c r="G11" s="28"/>
      <c r="H11" s="30"/>
      <c r="I11" s="30"/>
      <c r="J11" s="28"/>
      <c r="K11" s="30"/>
      <c r="L11" s="30"/>
      <c r="M11" s="25"/>
      <c r="N11" s="30"/>
      <c r="O11" s="30"/>
      <c r="P11" s="41"/>
    </row>
    <row r="12" spans="2:16" ht="30" customHeight="1" x14ac:dyDescent="0.2">
      <c r="B12" s="40"/>
      <c r="C12" s="23" t="s">
        <v>36</v>
      </c>
      <c r="D12" s="27"/>
      <c r="E12" s="71" t="s">
        <v>10</v>
      </c>
      <c r="F12" s="70"/>
      <c r="G12" s="28"/>
      <c r="H12" s="71" t="s">
        <v>37</v>
      </c>
      <c r="I12" s="70"/>
      <c r="J12" s="28"/>
      <c r="K12" s="30"/>
      <c r="L12" s="30"/>
      <c r="M12" s="25"/>
      <c r="N12" s="30"/>
      <c r="O12" s="30"/>
      <c r="P12" s="41"/>
    </row>
    <row r="13" spans="2:16" ht="30" customHeight="1" x14ac:dyDescent="0.2">
      <c r="B13" s="40"/>
      <c r="C13" s="90" t="str">
        <f>VLOOKUP('Historia de Usuario'!C10,'Formato descripción HU'!B6:O23,8,0)</f>
        <v>Aún no lo sé</v>
      </c>
      <c r="D13" s="27"/>
      <c r="E13" s="72" t="str">
        <f>VLOOKUP(C10,'Formato descripción HU'!B6:O23,10,0)</f>
        <v>Alta</v>
      </c>
      <c r="F13" s="70"/>
      <c r="G13" s="28"/>
      <c r="H13" s="72" t="str">
        <f>VLOOKUP(C10,'Formato descripción HU'!B6:O23,7,0)</f>
        <v>Yo</v>
      </c>
      <c r="I13" s="70"/>
      <c r="J13" s="28"/>
      <c r="K13" s="30"/>
      <c r="L13" s="30"/>
      <c r="M13" s="25"/>
      <c r="N13" s="30"/>
      <c r="O13" s="30"/>
      <c r="P13" s="41"/>
    </row>
    <row r="14" spans="2:16" ht="9.75" customHeight="1" x14ac:dyDescent="0.2">
      <c r="B14" s="40"/>
      <c r="C14" s="25"/>
      <c r="D14" s="27"/>
      <c r="E14" s="25"/>
      <c r="F14" s="25"/>
      <c r="G14" s="28"/>
      <c r="H14" s="28"/>
      <c r="I14" s="25"/>
      <c r="J14" s="25"/>
      <c r="K14" s="25"/>
      <c r="L14" s="25"/>
      <c r="M14" s="25"/>
      <c r="N14" s="25"/>
      <c r="O14" s="25"/>
      <c r="P14" s="41"/>
    </row>
    <row r="15" spans="2:16" ht="19.5" customHeight="1" x14ac:dyDescent="0.2">
      <c r="B15" s="40"/>
      <c r="C15" s="55" t="s">
        <v>38</v>
      </c>
      <c r="D15" s="73" t="str">
        <f>VLOOKUP(C10,'Formato descripción HU'!B6:O23,3,0)</f>
        <v>Una app sencilla de escritorio que este en la consola</v>
      </c>
      <c r="E15" s="59"/>
      <c r="F15" s="25"/>
      <c r="G15" s="55" t="s">
        <v>39</v>
      </c>
      <c r="H15" s="73" t="str">
        <f>VLOOKUP(C10,'Formato descripción HU'!B6:O23,4,0)</f>
        <v>Para agilizar el registro de la informacion</v>
      </c>
      <c r="I15" s="66"/>
      <c r="J15" s="59"/>
      <c r="K15" s="25"/>
      <c r="L15" s="55" t="s">
        <v>40</v>
      </c>
      <c r="M15" s="73" t="str">
        <f>VLOOKUP(C10,'Formato descripción HU'!B6:O23,6,0)</f>
        <v>Mediante la elaboracion de un programa en C con una interfaz sencilla manteniendo el enfoque en la consola</v>
      </c>
      <c r="N15" s="80"/>
      <c r="O15" s="81"/>
      <c r="P15" s="41"/>
    </row>
    <row r="16" spans="2:16" ht="19.5" customHeight="1" x14ac:dyDescent="0.2">
      <c r="B16" s="40"/>
      <c r="C16" s="56"/>
      <c r="D16" s="63"/>
      <c r="E16" s="64"/>
      <c r="F16" s="25"/>
      <c r="G16" s="56"/>
      <c r="H16" s="63"/>
      <c r="I16" s="54"/>
      <c r="J16" s="64"/>
      <c r="K16" s="25"/>
      <c r="L16" s="56"/>
      <c r="M16" s="82"/>
      <c r="N16" s="83"/>
      <c r="O16" s="84"/>
      <c r="P16" s="41"/>
    </row>
    <row r="17" spans="2:16" ht="19.5" customHeight="1" x14ac:dyDescent="0.2">
      <c r="B17" s="40"/>
      <c r="C17" s="57"/>
      <c r="D17" s="60"/>
      <c r="E17" s="61"/>
      <c r="F17" s="25"/>
      <c r="G17" s="57"/>
      <c r="H17" s="60"/>
      <c r="I17" s="67"/>
      <c r="J17" s="61"/>
      <c r="K17" s="25"/>
      <c r="L17" s="57"/>
      <c r="M17" s="85"/>
      <c r="N17" s="86"/>
      <c r="O17" s="87"/>
      <c r="P17" s="41"/>
    </row>
    <row r="18" spans="2:16" ht="9.75" customHeight="1" x14ac:dyDescent="0.2">
      <c r="B18" s="40"/>
      <c r="C18" s="25"/>
      <c r="D18" s="25"/>
      <c r="E18" s="25"/>
      <c r="F18" s="25"/>
      <c r="G18" s="28"/>
      <c r="H18" s="28"/>
      <c r="I18" s="28"/>
      <c r="J18" s="25"/>
      <c r="K18" s="25"/>
      <c r="L18" s="25"/>
      <c r="M18" s="25"/>
      <c r="N18" s="25"/>
      <c r="O18" s="25"/>
      <c r="P18" s="41"/>
    </row>
    <row r="19" spans="2:16" ht="19.5" customHeight="1" x14ac:dyDescent="0.2">
      <c r="B19" s="40"/>
      <c r="C19" s="58" t="s">
        <v>41</v>
      </c>
      <c r="D19" s="59"/>
      <c r="E19" s="74" t="str">
        <f>VLOOKUP(C10,'Formato descripción HU'!B6:O23,14,0)</f>
        <v>Inicio del Fin.</v>
      </c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41"/>
    </row>
    <row r="20" spans="2:16" ht="19.5" customHeight="1" x14ac:dyDescent="0.2">
      <c r="B20" s="40"/>
      <c r="C20" s="60"/>
      <c r="D20" s="61"/>
      <c r="E20" s="77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41"/>
    </row>
    <row r="21" spans="2:16" ht="9.75" customHeight="1" x14ac:dyDescent="0.2">
      <c r="B21" s="4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41"/>
    </row>
    <row r="22" spans="2:16" ht="19.5" customHeight="1" x14ac:dyDescent="0.2">
      <c r="B22" s="40"/>
      <c r="C22" s="62" t="s">
        <v>42</v>
      </c>
      <c r="D22" s="59"/>
      <c r="E22" s="73" t="str">
        <f>VLOOKUP(C10,'Formato descripción HU'!B6:O23,12,0)</f>
        <v>Ingresando informaxión y que se almacene correctamente</v>
      </c>
      <c r="F22" s="80"/>
      <c r="G22" s="80"/>
      <c r="H22" s="81"/>
      <c r="I22" s="25"/>
      <c r="J22" s="62" t="s">
        <v>13</v>
      </c>
      <c r="K22" s="59"/>
      <c r="L22" s="65">
        <f>VLOOKUP(C10,'Formato descripción HU'!B6:O23,13,0)</f>
        <v>0</v>
      </c>
      <c r="M22" s="66"/>
      <c r="N22" s="66"/>
      <c r="O22" s="59"/>
      <c r="P22" s="41"/>
    </row>
    <row r="23" spans="2:16" ht="19.5" customHeight="1" x14ac:dyDescent="0.2">
      <c r="B23" s="40"/>
      <c r="C23" s="63"/>
      <c r="D23" s="64"/>
      <c r="E23" s="82"/>
      <c r="F23" s="83"/>
      <c r="G23" s="83"/>
      <c r="H23" s="84"/>
      <c r="I23" s="25"/>
      <c r="J23" s="63"/>
      <c r="K23" s="64"/>
      <c r="L23" s="63"/>
      <c r="M23" s="54"/>
      <c r="N23" s="54"/>
      <c r="O23" s="64"/>
      <c r="P23" s="41"/>
    </row>
    <row r="24" spans="2:16" ht="19.5" customHeight="1" x14ac:dyDescent="0.2">
      <c r="B24" s="40"/>
      <c r="C24" s="60"/>
      <c r="D24" s="61"/>
      <c r="E24" s="85"/>
      <c r="F24" s="86"/>
      <c r="G24" s="86"/>
      <c r="H24" s="87"/>
      <c r="I24" s="25"/>
      <c r="J24" s="60"/>
      <c r="K24" s="61"/>
      <c r="L24" s="60"/>
      <c r="M24" s="67"/>
      <c r="N24" s="67"/>
      <c r="O24" s="61"/>
      <c r="P24" s="41"/>
    </row>
    <row r="25" spans="2:16" ht="9.75" customHeight="1" x14ac:dyDescent="0.2"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'Formato descripción HU'!$B$6:$B$21</xm:f>
          </x14:formula1>
          <xm:sqref>C11</xm:sqref>
        </x14:dataValidation>
        <x14:dataValidation type="list" allowBlank="1" showErrorMessage="1" xr:uid="{783190D8-DACE-4012-90A7-6F289D42A6B7}">
          <x14:formula1>
            <xm:f>'Formato descripción HU'!$B$6:$B$23</xm:f>
          </x14:formula1>
          <xm:sqref>C10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14" ma:contentTypeDescription="Crear nuevo documento." ma:contentTypeScope="" ma:versionID="a6849209fce37b8b9bc9b12ce7e99c9f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9c809f1de208edb1f7f17b3027eecd4e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CA0F49-E373-4116-B0EA-5CF9151CB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31ffb-9912-4459-99c8-b26e82094b51"/>
    <ds:schemaRef ds:uri="ce621958-37b1-43fe-a1f1-1aad67996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6AFB0-B65B-43EC-84D6-E6170CB29F7C}">
  <ds:schemaRefs>
    <ds:schemaRef ds:uri="http://schemas.microsoft.com/office/2006/metadata/properties"/>
    <ds:schemaRef ds:uri="http://schemas.microsoft.com/office/infopath/2007/PartnerControls"/>
    <ds:schemaRef ds:uri="f1f31ffb-9912-4459-99c8-b26e82094b51"/>
  </ds:schemaRefs>
</ds:datastoreItem>
</file>

<file path=customXml/itemProps3.xml><?xml version="1.0" encoding="utf-8"?>
<ds:datastoreItem xmlns:ds="http://schemas.openxmlformats.org/officeDocument/2006/customXml" ds:itemID="{A27D8618-BC5A-4AFD-ACEC-6D90E682B5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LABS-ESPE</cp:lastModifiedBy>
  <cp:revision/>
  <dcterms:created xsi:type="dcterms:W3CDTF">2019-10-21T15:37:14Z</dcterms:created>
  <dcterms:modified xsi:type="dcterms:W3CDTF">2025-06-20T12:42:44Z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